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5" i="1" l="1"/>
  <c r="N35" i="1"/>
  <c r="M35" i="1"/>
  <c r="L35" i="1"/>
  <c r="K35" i="1"/>
  <c r="J35" i="1"/>
  <c r="I35" i="1"/>
  <c r="H35" i="1"/>
  <c r="G35" i="1"/>
  <c r="F35" i="1"/>
  <c r="E35" i="1"/>
  <c r="D35" i="1"/>
  <c r="P35" i="1" l="1"/>
  <c r="E40" i="1" l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</calcChain>
</file>

<file path=xl/sharedStrings.xml><?xml version="1.0" encoding="utf-8"?>
<sst xmlns="http://schemas.openxmlformats.org/spreadsheetml/2006/main" count="61" uniqueCount="60">
  <si>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</si>
  <si>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</si>
  <si>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</si>
  <si>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</si>
  <si>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</si>
  <si>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</si>
  <si>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</si>
  <si>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</si>
  <si>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</si>
  <si>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</si>
  <si>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</si>
  <si>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Kulandhaivelu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</si>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</sst>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2"/>
  <sheetViews>
    <sheetView tabSelected="1" workbookViewId="0">
      <selection activeCell="E6" sqref="E6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3" t="s">
        <v>38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6" ht="15.6" x14ac:dyDescent="0.3">
      <c r="A2" s="8" t="s">
        <v>25</v>
      </c>
      <c r="B2" s="7" t="s">
        <v>26</v>
      </c>
      <c r="C2" s="8" t="s">
        <v>30</v>
      </c>
      <c r="D2" s="8" t="s">
        <v>39</v>
      </c>
      <c r="E2" s="8" t="s">
        <v>40</v>
      </c>
      <c r="F2" s="8" t="s">
        <v>41</v>
      </c>
      <c r="G2" s="8" t="s">
        <v>42</v>
      </c>
      <c r="H2" s="8" t="s">
        <v>43</v>
      </c>
      <c r="I2" s="8" t="s">
        <v>44</v>
      </c>
      <c r="J2" s="8" t="s">
        <v>45</v>
      </c>
      <c r="K2" s="8" t="s">
        <v>46</v>
      </c>
      <c r="L2" s="8" t="s">
        <v>47</v>
      </c>
      <c r="M2" s="8" t="s">
        <v>48</v>
      </c>
      <c r="N2" s="8" t="s">
        <v>49</v>
      </c>
      <c r="O2" s="8" t="s">
        <v>50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/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/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300</v>
      </c>
      <c r="F7" s="8"/>
      <c r="G7" s="8"/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55</v>
      </c>
      <c r="C8" s="8"/>
      <c r="D8" s="8">
        <v>200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31</v>
      </c>
      <c r="C9" s="8"/>
      <c r="D9" s="8">
        <v>300</v>
      </c>
      <c r="E9" s="8">
        <v>400</v>
      </c>
      <c r="F9" s="8"/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13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53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24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10</v>
      </c>
      <c r="C13" s="8"/>
      <c r="D13" s="8">
        <v>300</v>
      </c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11</v>
      </c>
      <c r="C14" s="8"/>
      <c r="D14" s="8">
        <v>300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27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12</v>
      </c>
      <c r="C16" s="8"/>
      <c r="D16" s="8"/>
      <c r="E16" s="8">
        <v>400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14</v>
      </c>
      <c r="C17" s="8"/>
      <c r="D17" s="8">
        <v>300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4</v>
      </c>
      <c r="C18" s="8"/>
      <c r="D18" s="8">
        <v>300</v>
      </c>
      <c r="E18" s="8">
        <v>400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58</v>
      </c>
      <c r="C19" s="8"/>
      <c r="D19" s="8"/>
      <c r="E19" s="8">
        <v>400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5</v>
      </c>
      <c r="C20" s="8"/>
      <c r="D20" s="8">
        <v>300</v>
      </c>
      <c r="E20" s="8">
        <v>200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15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16</v>
      </c>
      <c r="C22" s="8"/>
      <c r="D22" s="8">
        <v>300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54</v>
      </c>
      <c r="C23" s="8"/>
      <c r="D23" s="8">
        <v>200</v>
      </c>
      <c r="E23" s="8">
        <v>400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17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28</v>
      </c>
      <c r="C25" s="8"/>
      <c r="D25" s="8">
        <v>300</v>
      </c>
      <c r="E25" s="8">
        <v>400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18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23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19</v>
      </c>
      <c r="C28" s="8"/>
      <c r="D28" s="8"/>
      <c r="E28" s="8">
        <v>400</v>
      </c>
      <c r="F28" s="8">
        <v>100</v>
      </c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20</v>
      </c>
      <c r="C29" s="8"/>
      <c r="D29" s="8">
        <v>300</v>
      </c>
      <c r="E29" s="8">
        <v>400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21</v>
      </c>
      <c r="C30" s="8"/>
      <c r="D30" s="8">
        <v>300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22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6</v>
      </c>
      <c r="C32" s="8"/>
      <c r="D32" s="8">
        <v>300</v>
      </c>
      <c r="E32" s="8">
        <v>400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7</v>
      </c>
      <c r="C33" s="8"/>
      <c r="D33" s="8">
        <v>300</v>
      </c>
      <c r="E33" s="8">
        <v>400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12"/>
    </row>
    <row r="34" spans="1:16" x14ac:dyDescent="0.3">
      <c r="A34" s="8">
        <v>32</v>
      </c>
      <c r="B34" s="11" t="s">
        <v>8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2" t="s">
        <v>29</v>
      </c>
    </row>
    <row r="35" spans="1:16" x14ac:dyDescent="0.3">
      <c r="A35" s="2" t="s">
        <v>37</v>
      </c>
      <c r="B35" s="10"/>
      <c r="C35" s="8"/>
      <c r="D35" s="2">
        <f>SUM(D4:D34)</f>
        <v>5400</v>
      </c>
      <c r="E35" s="8">
        <f t="shared" ref="E35:O35" si="0">SUM(E3:E34)</f>
        <v>6900</v>
      </c>
      <c r="F35" s="8">
        <f t="shared" si="0"/>
        <v>100</v>
      </c>
      <c r="G35" s="8">
        <f t="shared" si="0"/>
        <v>0</v>
      </c>
      <c r="H35" s="8">
        <f t="shared" si="0"/>
        <v>0</v>
      </c>
      <c r="I35" s="8">
        <f t="shared" si="0"/>
        <v>0</v>
      </c>
      <c r="J35" s="8">
        <f t="shared" si="0"/>
        <v>0</v>
      </c>
      <c r="K35" s="8">
        <f t="shared" si="0"/>
        <v>0</v>
      </c>
      <c r="L35" s="8">
        <f t="shared" si="0"/>
        <v>0</v>
      </c>
      <c r="M35" s="8">
        <f t="shared" si="0"/>
        <v>0</v>
      </c>
      <c r="N35" s="8">
        <f t="shared" si="0"/>
        <v>0</v>
      </c>
      <c r="O35" s="8">
        <f t="shared" si="0"/>
        <v>0</v>
      </c>
      <c r="P35" s="2">
        <f>SUM(C35:O35)</f>
        <v>12400</v>
      </c>
    </row>
    <row r="36" spans="1:16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</row>
    <row r="38" spans="1:16" ht="21" x14ac:dyDescent="0.4">
      <c r="A38" s="14" t="s">
        <v>32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</row>
    <row r="39" spans="1:16" s="1" customFormat="1" x14ac:dyDescent="0.3">
      <c r="A39" s="3" t="s">
        <v>25</v>
      </c>
      <c r="B39" s="3" t="s">
        <v>33</v>
      </c>
      <c r="C39" s="3" t="s">
        <v>35</v>
      </c>
      <c r="D39" s="3" t="s">
        <v>34</v>
      </c>
      <c r="E39" s="3" t="s">
        <v>36</v>
      </c>
    </row>
    <row r="40" spans="1:16" x14ac:dyDescent="0.3">
      <c r="A40" s="4">
        <v>1</v>
      </c>
      <c r="B40" s="4" t="s">
        <v>52</v>
      </c>
      <c r="C40" s="5">
        <v>43200</v>
      </c>
      <c r="D40" s="4">
        <v>1265</v>
      </c>
      <c r="E40" s="4">
        <f xml:space="preserve"> P35-D40</f>
        <v>11135</v>
      </c>
    </row>
    <row r="41" spans="1:16" x14ac:dyDescent="0.3">
      <c r="A41" s="4">
        <v>2</v>
      </c>
      <c r="B41" s="4" t="s">
        <v>51</v>
      </c>
      <c r="C41" s="5">
        <v>43207</v>
      </c>
      <c r="D41" s="4">
        <v>1250</v>
      </c>
      <c r="E41" s="4">
        <f>E40-D41</f>
        <v>9885</v>
      </c>
    </row>
    <row r="42" spans="1:16" x14ac:dyDescent="0.3">
      <c r="A42" s="4">
        <v>3</v>
      </c>
      <c r="B42" s="4" t="s">
        <v>56</v>
      </c>
      <c r="C42" s="5">
        <v>43214</v>
      </c>
      <c r="D42" s="4">
        <v>1250</v>
      </c>
      <c r="E42" s="4">
        <f t="shared" ref="E42:E52" si="1">E41-D42</f>
        <v>8635</v>
      </c>
    </row>
    <row r="43" spans="1:16" x14ac:dyDescent="0.3">
      <c r="A43" s="4">
        <v>4</v>
      </c>
      <c r="B43" s="4" t="s">
        <v>57</v>
      </c>
      <c r="C43" s="5">
        <v>43191</v>
      </c>
      <c r="D43" s="4">
        <v>1250</v>
      </c>
      <c r="E43" s="4">
        <f t="shared" si="1"/>
        <v>7385</v>
      </c>
    </row>
    <row r="44" spans="1:16" x14ac:dyDescent="0.3">
      <c r="A44" s="4">
        <v>5</v>
      </c>
      <c r="B44" s="4" t="s">
        <v>59</v>
      </c>
      <c r="C44" s="5">
        <v>43197</v>
      </c>
      <c r="D44" s="4">
        <v>1250</v>
      </c>
      <c r="E44" s="4">
        <f t="shared" si="1"/>
        <v>6135</v>
      </c>
    </row>
    <row r="45" spans="1:16" x14ac:dyDescent="0.3">
      <c r="A45" s="4">
        <v>6</v>
      </c>
      <c r="B45" s="4"/>
      <c r="C45" s="4"/>
      <c r="D45" s="4"/>
      <c r="E45" s="4">
        <f t="shared" si="1"/>
        <v>6135</v>
      </c>
    </row>
    <row r="46" spans="1:16" x14ac:dyDescent="0.3">
      <c r="A46" s="4">
        <v>7</v>
      </c>
      <c r="B46" s="4"/>
      <c r="C46" s="4"/>
      <c r="D46" s="4"/>
      <c r="E46" s="4">
        <f t="shared" si="1"/>
        <v>6135</v>
      </c>
    </row>
    <row r="47" spans="1:16" x14ac:dyDescent="0.3">
      <c r="A47" s="4">
        <v>8</v>
      </c>
      <c r="B47" s="4"/>
      <c r="C47" s="4"/>
      <c r="D47" s="4"/>
      <c r="E47" s="4">
        <f t="shared" si="1"/>
        <v>6135</v>
      </c>
    </row>
    <row r="48" spans="1:16" x14ac:dyDescent="0.3">
      <c r="A48" s="4">
        <v>9</v>
      </c>
      <c r="B48" s="4"/>
      <c r="C48" s="4"/>
      <c r="D48" s="4"/>
      <c r="E48" s="4">
        <f t="shared" si="1"/>
        <v>6135</v>
      </c>
    </row>
    <row r="49" spans="1:5" x14ac:dyDescent="0.3">
      <c r="A49" s="4">
        <v>10</v>
      </c>
      <c r="B49" s="4"/>
      <c r="C49" s="4"/>
      <c r="D49" s="4"/>
      <c r="E49" s="4">
        <f t="shared" si="1"/>
        <v>6135</v>
      </c>
    </row>
    <row r="50" spans="1:5" x14ac:dyDescent="0.3">
      <c r="A50" s="4">
        <v>11</v>
      </c>
      <c r="B50" s="4"/>
      <c r="C50" s="4"/>
      <c r="D50" s="4"/>
      <c r="E50" s="4">
        <f t="shared" si="1"/>
        <v>6135</v>
      </c>
    </row>
    <row r="51" spans="1:5" x14ac:dyDescent="0.3">
      <c r="A51" s="6">
        <v>12</v>
      </c>
      <c r="B51" s="4"/>
      <c r="C51" s="4"/>
      <c r="D51" s="4"/>
      <c r="E51" s="4">
        <f t="shared" si="1"/>
        <v>6135</v>
      </c>
    </row>
    <row r="52" spans="1:5" x14ac:dyDescent="0.3">
      <c r="A52" s="6">
        <v>13</v>
      </c>
      <c r="B52" s="4"/>
      <c r="C52" s="4"/>
      <c r="D52" s="4"/>
      <c r="E52" s="4">
        <f t="shared" si="1"/>
        <v>6135</v>
      </c>
    </row>
  </sheetData>
  <sortState ref="B3:G34">
    <sortCondition ref="B3"/>
  </sortState>
  <mergeCells count="2">
    <mergeCell ref="A1:O1"/>
    <mergeCell ref="A38:P38"/>
  </mergeCells>
  <conditionalFormatting sqref="A3:O34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2018-05-14T08:40:31Z</dcterms:modified>
</cp:coreProperties>
</file>